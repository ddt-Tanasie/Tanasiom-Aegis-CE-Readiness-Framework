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&amp; Access Inventory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 Black"/>
      <b val="1"/>
      <color rgb="00FFFFFF"/>
      <sz val="18"/>
    </font>
    <font>
      <name val="Arial"/>
      <i val="1"/>
      <color rgb="007F7F7F"/>
      <sz val="11"/>
    </font>
    <font>
      <b val="1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 Black"/>
      <b val="1"/>
      <color rgb="00FFFFFF"/>
      <sz val="16"/>
    </font>
    <font>
      <name val="Arial"/>
      <b val="1"/>
      <color rgb="001F4E78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3" fillId="5" borderId="0" pivotButton="0" quotePrefix="0" xfId="0"/>
    <xf numFmtId="0" fontId="5" fillId="6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57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20" customWidth="1" min="5" max="5"/>
    <col width="14" customWidth="1" min="6" max="6"/>
    <col width="20" customWidth="1" min="7" max="7"/>
    <col width="18" customWidth="1" min="8" max="8"/>
    <col width="20" customWidth="1" min="9" max="9"/>
    <col width="12" customWidth="1" min="10" max="10"/>
    <col width="16" customWidth="1" min="11" max="11"/>
    <col width="25" customWidth="1" min="12" max="12"/>
    <col width="35" customWidth="1" min="13" max="13"/>
  </cols>
  <sheetData>
    <row r="1">
      <c r="A1" s="1" t="inlineStr">
        <is>
          <t>DEVICE AND ACCESS CONTROL TEMPLATE</t>
        </is>
      </c>
    </row>
    <row r="2"/>
    <row r="3"/>
    <row r="4">
      <c r="A4" s="2" t="inlineStr">
        <is>
          <t>Tanasiom Aegis - Cyber Essentials Readiness Framework</t>
        </is>
      </c>
    </row>
    <row r="6">
      <c r="A6" s="3" t="inlineStr">
        <is>
          <t>Company Name:</t>
        </is>
      </c>
      <c r="B6" s="4" t="inlineStr">
        <is>
          <t>[Enter Company Name]</t>
        </is>
      </c>
      <c r="E6" s="3" t="inlineStr">
        <is>
          <t>Last Updated:</t>
        </is>
      </c>
      <c r="F6" s="4" t="inlineStr">
        <is>
          <t>07/12/2025</t>
        </is>
      </c>
      <c r="I6" s="3" t="inlineStr">
        <is>
          <t>Completed By:</t>
        </is>
      </c>
      <c r="J6" s="4" t="inlineStr">
        <is>
          <t>[Your Name]</t>
        </is>
      </c>
    </row>
    <row r="8" ht="30" customHeight="1">
      <c r="A8" s="5" t="inlineStr">
        <is>
          <t>Device ID</t>
        </is>
      </c>
      <c r="B8" s="5" t="inlineStr">
        <is>
          <t>Hostname</t>
        </is>
      </c>
      <c r="C8" s="5" t="inlineStr">
        <is>
          <t>Device Type</t>
        </is>
      </c>
      <c r="D8" s="5" t="inlineStr">
        <is>
          <t>Owner</t>
        </is>
      </c>
      <c r="E8" s="5" t="inlineStr">
        <is>
          <t>OS</t>
        </is>
      </c>
      <c r="F8" s="5" t="inlineStr">
        <is>
          <t>IP</t>
        </is>
      </c>
      <c r="G8" s="5" t="inlineStr">
        <is>
          <t>Location</t>
        </is>
      </c>
      <c r="H8" s="5" t="inlineStr">
        <is>
          <t>Access Level</t>
        </is>
      </c>
      <c r="I8" s="5" t="inlineStr">
        <is>
          <t>Admin Accounts</t>
        </is>
      </c>
      <c r="J8" s="5" t="inlineStr">
        <is>
          <t>MFA (Y/N)</t>
        </is>
      </c>
      <c r="K8" s="5" t="inlineStr">
        <is>
          <t>Last Patch Date</t>
        </is>
      </c>
      <c r="L8" s="5" t="inlineStr">
        <is>
          <t>Evidence Link</t>
        </is>
      </c>
      <c r="M8" s="5" t="inlineStr">
        <is>
          <t>Notes</t>
        </is>
      </c>
    </row>
    <row r="9">
      <c r="A9" s="6" t="inlineStr">
        <is>
          <t>DEV-001</t>
        </is>
      </c>
      <c r="B9" s="6" t="inlineStr">
        <is>
          <t>CEO-LAPTOP</t>
        </is>
      </c>
      <c r="C9" s="6" t="inlineStr">
        <is>
          <t>Laptop</t>
        </is>
      </c>
      <c r="D9" s="6" t="inlineStr">
        <is>
          <t>John Smith</t>
        </is>
      </c>
      <c r="E9" s="6" t="inlineStr">
        <is>
          <t>Windows 11 Pro</t>
        </is>
      </c>
      <c r="F9" s="6" t="inlineStr">
        <is>
          <t>192.168.1.10</t>
        </is>
      </c>
      <c r="G9" s="6" t="inlineStr">
        <is>
          <t>HQ Office - London</t>
        </is>
      </c>
      <c r="H9" s="6" t="inlineStr">
        <is>
          <t>Administrator</t>
        </is>
      </c>
      <c r="I9" s="6" t="inlineStr">
        <is>
          <t>admin_jsmith</t>
        </is>
      </c>
      <c r="J9" s="6" t="inlineStr">
        <is>
          <t>Y</t>
        </is>
      </c>
      <c r="K9" s="6" t="inlineStr">
        <is>
          <t>04/12/2025</t>
        </is>
      </c>
      <c r="L9" s="6" t="inlineStr">
        <is>
          <t>https://evidence.example.com/dev001</t>
        </is>
      </c>
      <c r="M9" s="6" t="inlineStr">
        <is>
          <t>Company-issued laptop, encrypted</t>
        </is>
      </c>
    </row>
    <row r="10">
      <c r="A10" s="7" t="inlineStr">
        <is>
          <t>DEV-002</t>
        </is>
      </c>
      <c r="B10" s="7" t="inlineStr">
        <is>
          <t>IT-DESKTOP-01</t>
        </is>
      </c>
      <c r="C10" s="7" t="inlineStr">
        <is>
          <t>Desktop</t>
        </is>
      </c>
      <c r="D10" s="7" t="inlineStr">
        <is>
          <t>Sarah Johnson</t>
        </is>
      </c>
      <c r="E10" s="7" t="inlineStr">
        <is>
          <t>Windows 11 Pro</t>
        </is>
      </c>
      <c r="F10" s="7" t="inlineStr">
        <is>
          <t>192.168.1.15</t>
        </is>
      </c>
      <c r="G10" s="7" t="inlineStr">
        <is>
          <t>HQ Office - London</t>
        </is>
      </c>
      <c r="H10" s="7" t="inlineStr">
        <is>
          <t>Administrator</t>
        </is>
      </c>
      <c r="I10" s="7" t="inlineStr">
        <is>
          <t>admin_sjohnson</t>
        </is>
      </c>
      <c r="J10" s="7" t="inlineStr">
        <is>
          <t>Y</t>
        </is>
      </c>
      <c r="K10" s="7" t="inlineStr">
        <is>
          <t>06/12/2025</t>
        </is>
      </c>
      <c r="L10" s="7" t="inlineStr">
        <is>
          <t>https://evidence.example.com/dev002</t>
        </is>
      </c>
      <c r="M10" s="7" t="inlineStr">
        <is>
          <t>IT Department workstation</t>
        </is>
      </c>
    </row>
    <row r="11">
      <c r="A11" s="6" t="inlineStr">
        <is>
          <t>DEV-003</t>
        </is>
      </c>
      <c r="B11" s="6" t="inlineStr">
        <is>
          <t>MARKETING-LAP</t>
        </is>
      </c>
      <c r="C11" s="6" t="inlineStr">
        <is>
          <t>Laptop</t>
        </is>
      </c>
      <c r="D11" s="6" t="inlineStr">
        <is>
          <t>David Brown</t>
        </is>
      </c>
      <c r="E11" s="6" t="inlineStr">
        <is>
          <t>macOS Sonoma 14.2</t>
        </is>
      </c>
      <c r="F11" s="6" t="inlineStr">
        <is>
          <t>192.168.1.22</t>
        </is>
      </c>
      <c r="G11" s="6" t="inlineStr">
        <is>
          <t>Remote - Manchester</t>
        </is>
      </c>
      <c r="H11" s="6" t="inlineStr">
        <is>
          <t>Standard User</t>
        </is>
      </c>
      <c r="I11" s="6" t="inlineStr">
        <is>
          <t>N/A</t>
        </is>
      </c>
      <c r="J11" s="6" t="inlineStr">
        <is>
          <t>Y</t>
        </is>
      </c>
      <c r="K11" s="6" t="inlineStr">
        <is>
          <t>30/11/2025</t>
        </is>
      </c>
      <c r="L11" s="6" t="inlineStr">
        <is>
          <t>https://evidence.example.com/dev003</t>
        </is>
      </c>
      <c r="M11" s="6" t="inlineStr">
        <is>
          <t>MacBook Pro, VPN configured</t>
        </is>
      </c>
    </row>
    <row r="12">
      <c r="A12" s="7" t="inlineStr">
        <is>
          <t>DEV-004</t>
        </is>
      </c>
      <c r="B12" s="7" t="inlineStr">
        <is>
          <t>SERVER-DC01</t>
        </is>
      </c>
      <c r="C12" s="7" t="inlineStr">
        <is>
          <t>Server</t>
        </is>
      </c>
      <c r="D12" s="7" t="inlineStr">
        <is>
          <t>IT Department</t>
        </is>
      </c>
      <c r="E12" s="7" t="inlineStr">
        <is>
          <t>Windows Server 2022</t>
        </is>
      </c>
      <c r="F12" s="7" t="inlineStr">
        <is>
          <t>192.168.1.5</t>
        </is>
      </c>
      <c r="G12" s="7" t="inlineStr">
        <is>
          <t>Server Room - HQ</t>
        </is>
      </c>
      <c r="H12" s="7" t="inlineStr">
        <is>
          <t>Administrator</t>
        </is>
      </c>
      <c r="I12" s="7" t="inlineStr">
        <is>
          <t>admin_dc, svc_backup</t>
        </is>
      </c>
      <c r="J12" s="7" t="inlineStr">
        <is>
          <t>Y</t>
        </is>
      </c>
      <c r="K12" s="7" t="inlineStr">
        <is>
          <t>05/12/2025</t>
        </is>
      </c>
      <c r="L12" s="7" t="inlineStr">
        <is>
          <t>https://evidence.example.com/dev004</t>
        </is>
      </c>
      <c r="M12" s="7" t="inlineStr">
        <is>
          <t>Domain controller, critical system</t>
        </is>
      </c>
    </row>
    <row r="13">
      <c r="A13" s="6" t="inlineStr">
        <is>
          <t>DEV-005</t>
        </is>
      </c>
      <c r="B13" s="6" t="inlineStr">
        <is>
          <t>FINANCE-DESK</t>
        </is>
      </c>
      <c r="C13" s="6" t="inlineStr">
        <is>
          <t>Desktop</t>
        </is>
      </c>
      <c r="D13" s="6" t="inlineStr">
        <is>
          <t>Emma Wilson</t>
        </is>
      </c>
      <c r="E13" s="6" t="inlineStr">
        <is>
          <t>Windows 10 Pro</t>
        </is>
      </c>
      <c r="F13" s="6" t="inlineStr">
        <is>
          <t>192.168.1.30</t>
        </is>
      </c>
      <c r="G13" s="6" t="inlineStr">
        <is>
          <t>HQ Office - London</t>
        </is>
      </c>
      <c r="H13" s="6" t="inlineStr">
        <is>
          <t>Standard User</t>
        </is>
      </c>
      <c r="I13" s="6" t="inlineStr">
        <is>
          <t>N/A</t>
        </is>
      </c>
      <c r="J13" s="6" t="inlineStr">
        <is>
          <t>N</t>
        </is>
      </c>
      <c r="K13" s="6" t="inlineStr">
        <is>
          <t>23/10/2025</t>
        </is>
      </c>
      <c r="L13" s="6" t="inlineStr">
        <is>
          <t>https://evidence.example.com/dev005</t>
        </is>
      </c>
      <c r="M13" s="6" t="inlineStr">
        <is>
          <t>UPGRADE REQUIRED - Win10 EOL approaching</t>
        </is>
      </c>
    </row>
    <row r="14">
      <c r="A14" s="7" t="inlineStr">
        <is>
          <t>DEV-006</t>
        </is>
      </c>
      <c r="B14" s="7" t="inlineStr">
        <is>
          <t>SALES-TABLET</t>
        </is>
      </c>
      <c r="C14" s="7" t="inlineStr">
        <is>
          <t>Tablet</t>
        </is>
      </c>
      <c r="D14" s="7" t="inlineStr">
        <is>
          <t>Michael Chen</t>
        </is>
      </c>
      <c r="E14" s="7" t="inlineStr">
        <is>
          <t>iPadOS 17.2</t>
        </is>
      </c>
      <c r="F14" s="7" t="inlineStr">
        <is>
          <t>192.168.1.45</t>
        </is>
      </c>
      <c r="G14" s="7" t="inlineStr">
        <is>
          <t>Remote - Birmingham</t>
        </is>
      </c>
      <c r="H14" s="7" t="inlineStr">
        <is>
          <t>Standard User</t>
        </is>
      </c>
      <c r="I14" s="7" t="inlineStr">
        <is>
          <t>N/A</t>
        </is>
      </c>
      <c r="J14" s="7" t="inlineStr">
        <is>
          <t>Y</t>
        </is>
      </c>
      <c r="K14" s="7" t="inlineStr">
        <is>
          <t>02/12/2025</t>
        </is>
      </c>
      <c r="L14" s="7" t="inlineStr">
        <is>
          <t>https://evidence.example.com/dev006</t>
        </is>
      </c>
      <c r="M14" s="7" t="inlineStr">
        <is>
          <t>iPad Pro, MDM enrolled</t>
        </is>
      </c>
    </row>
    <row r="15">
      <c r="A15" s="6" t="inlineStr">
        <is>
          <t>DEV-007</t>
        </is>
      </c>
      <c r="B15" s="6" t="inlineStr">
        <is>
          <t>FILE-SERVER-01</t>
        </is>
      </c>
      <c r="C15" s="6" t="inlineStr">
        <is>
          <t>Server</t>
        </is>
      </c>
      <c r="D15" s="6" t="inlineStr">
        <is>
          <t>IT Department</t>
        </is>
      </c>
      <c r="E15" s="6" t="inlineStr">
        <is>
          <t>Ubuntu Server 22.04 LTS</t>
        </is>
      </c>
      <c r="F15" s="6" t="inlineStr">
        <is>
          <t>192.168.1.6</t>
        </is>
      </c>
      <c r="G15" s="6" t="inlineStr">
        <is>
          <t>Server Room - HQ</t>
        </is>
      </c>
      <c r="H15" s="6" t="inlineStr">
        <is>
          <t>Administrator</t>
        </is>
      </c>
      <c r="I15" s="6" t="inlineStr">
        <is>
          <t>root, admin_backup</t>
        </is>
      </c>
      <c r="J15" s="6" t="inlineStr">
        <is>
          <t>Y</t>
        </is>
      </c>
      <c r="K15" s="6" t="inlineStr">
        <is>
          <t>06/12/2025</t>
        </is>
      </c>
      <c r="L15" s="6" t="inlineStr">
        <is>
          <t>https://evidence.example.com/dev007</t>
        </is>
      </c>
      <c r="M15" s="6" t="inlineStr">
        <is>
          <t>File server, weekly backups configured</t>
        </is>
      </c>
    </row>
    <row r="16">
      <c r="A16" s="7" t="inlineStr">
        <is>
          <t>DEV-008</t>
        </is>
      </c>
      <c r="B16" s="7" t="inlineStr">
        <is>
          <t>RECEPTION-PC</t>
        </is>
      </c>
      <c r="C16" s="7" t="inlineStr">
        <is>
          <t>Desktop</t>
        </is>
      </c>
      <c r="D16" s="7" t="inlineStr">
        <is>
          <t>Guest/Shared</t>
        </is>
      </c>
      <c r="E16" s="7" t="inlineStr">
        <is>
          <t>Windows 11 Pro</t>
        </is>
      </c>
      <c r="F16" s="7" t="inlineStr">
        <is>
          <t>192.168.1.50</t>
        </is>
      </c>
      <c r="G16" s="7" t="inlineStr">
        <is>
          <t>Reception - HQ</t>
        </is>
      </c>
      <c r="H16" s="7" t="inlineStr">
        <is>
          <t>Standard User</t>
        </is>
      </c>
      <c r="I16" s="7" t="inlineStr">
        <is>
          <t>N/A</t>
        </is>
      </c>
      <c r="J16" s="7" t="inlineStr">
        <is>
          <t>N</t>
        </is>
      </c>
      <c r="K16" s="7" t="inlineStr">
        <is>
          <t>27/11/2025</t>
        </is>
      </c>
      <c r="L16" s="7" t="inlineStr">
        <is>
          <t>https://evidence.example.com/dev008</t>
        </is>
      </c>
      <c r="M16" s="7" t="inlineStr">
        <is>
          <t>Shared device, limited access</t>
        </is>
      </c>
    </row>
    <row r="17">
      <c r="A17" s="6" t="inlineStr">
        <is>
          <t>DEV-009</t>
        </is>
      </c>
      <c r="B17" s="6" t="inlineStr">
        <is>
          <t>HR-LAPTOP</t>
        </is>
      </c>
      <c r="C17" s="6" t="inlineStr">
        <is>
          <t>Laptop</t>
        </is>
      </c>
      <c r="D17" s="6" t="inlineStr">
        <is>
          <t>Rachel Green</t>
        </is>
      </c>
      <c r="E17" s="6" t="inlineStr">
        <is>
          <t>Windows 11 Pro</t>
        </is>
      </c>
      <c r="F17" s="6" t="inlineStr">
        <is>
          <t>192.168.1.35</t>
        </is>
      </c>
      <c r="G17" s="6" t="inlineStr">
        <is>
          <t>HQ Office - London</t>
        </is>
      </c>
      <c r="H17" s="6" t="inlineStr">
        <is>
          <t>Standard User</t>
        </is>
      </c>
      <c r="I17" s="6" t="inlineStr">
        <is>
          <t>N/A</t>
        </is>
      </c>
      <c r="J17" s="6" t="inlineStr">
        <is>
          <t>Y</t>
        </is>
      </c>
      <c r="K17" s="6" t="inlineStr">
        <is>
          <t>03/12/2025</t>
        </is>
      </c>
      <c r="L17" s="6" t="inlineStr">
        <is>
          <t>https://evidence.example.com/dev009</t>
        </is>
      </c>
      <c r="M17" s="6" t="inlineStr">
        <is>
          <t>Contains sensitive HR data, encrypted</t>
        </is>
      </c>
    </row>
    <row r="18">
      <c r="A18" s="7" t="inlineStr">
        <is>
          <t>DEV-010</t>
        </is>
      </c>
      <c r="B18" s="7" t="inlineStr">
        <is>
          <t>MOBILE-CEO</t>
        </is>
      </c>
      <c r="C18" s="7" t="inlineStr">
        <is>
          <t>Mobile Phone</t>
        </is>
      </c>
      <c r="D18" s="7" t="inlineStr">
        <is>
          <t>John Smith</t>
        </is>
      </c>
      <c r="E18" s="7" t="inlineStr">
        <is>
          <t>iOS 17.2</t>
        </is>
      </c>
      <c r="F18" s="7" t="inlineStr">
        <is>
          <t>192.168.1.100</t>
        </is>
      </c>
      <c r="G18" s="7" t="inlineStr">
        <is>
          <t>Mobile - Various</t>
        </is>
      </c>
      <c r="H18" s="7" t="inlineStr">
        <is>
          <t>Standard User</t>
        </is>
      </c>
      <c r="I18" s="7" t="inlineStr">
        <is>
          <t>N/A</t>
        </is>
      </c>
      <c r="J18" s="7" t="inlineStr">
        <is>
          <t>Y</t>
        </is>
      </c>
      <c r="K18" s="7" t="inlineStr">
        <is>
          <t>05/12/2025</t>
        </is>
      </c>
      <c r="L18" s="7" t="inlineStr">
        <is>
          <t>https://evidence.example.com/dev010</t>
        </is>
      </c>
      <c r="M18" s="7" t="inlineStr">
        <is>
          <t>iPhone 15 Pro, MDM enrolled, corporate email</t>
        </is>
      </c>
    </row>
    <row r="120">
      <c r="A120" s="8" t="inlineStr">
        <is>
          <t>INVENTORY SUMMARY STATISTICS</t>
        </is>
      </c>
    </row>
    <row r="122">
      <c r="A122" s="9" t="inlineStr">
        <is>
          <t>Metric</t>
        </is>
      </c>
      <c r="B122" s="9" t="inlineStr">
        <is>
          <t>Count</t>
        </is>
      </c>
      <c r="C122" s="9" t="inlineStr">
        <is>
          <t>Formula</t>
        </is>
      </c>
      <c r="D122" s="9" t="inlineStr">
        <is>
          <t>Status</t>
        </is>
      </c>
    </row>
    <row r="123">
      <c r="A123" t="inlineStr">
        <is>
          <t>Total Devices</t>
        </is>
      </c>
      <c r="B123">
        <f>COUNTA(A9:A1000)</f>
        <v/>
      </c>
      <c r="C123" t="inlineStr"/>
      <c r="D123" t="inlineStr"/>
    </row>
    <row r="124">
      <c r="A124" t="inlineStr">
        <is>
          <t>Devices with MFA Enabled</t>
        </is>
      </c>
      <c r="B124">
        <f>COUNTIF(J9:J1000,"Y")</f>
        <v/>
      </c>
      <c r="C124" t="inlineStr"/>
      <c r="D124" t="inlineStr"/>
    </row>
    <row r="125">
      <c r="A125" t="inlineStr">
        <is>
          <t>Devices WITHOUT MFA</t>
        </is>
      </c>
      <c r="B125">
        <f>COUNTIF(J9:J1000,"N")</f>
        <v/>
      </c>
      <c r="C125" t="inlineStr"/>
      <c r="D125" t="inlineStr">
        <is>
          <t>⚠ Risk</t>
        </is>
      </c>
    </row>
    <row r="126">
      <c r="A126" t="inlineStr">
        <is>
          <t>Administrator Accounts</t>
        </is>
      </c>
      <c r="B126">
        <f>COUNTIF(H9:H1000,"Administrator")</f>
        <v/>
      </c>
      <c r="C126" t="inlineStr"/>
      <c r="D126" t="inlineStr">
        <is>
          <t>⚠ Monitor</t>
        </is>
      </c>
    </row>
    <row r="127">
      <c r="A127" t="inlineStr">
        <is>
          <t>Laptops</t>
        </is>
      </c>
      <c r="B127">
        <f>COUNTIF(C9:C1000,"Laptop")</f>
        <v/>
      </c>
      <c r="C127" t="inlineStr"/>
      <c r="D127" t="inlineStr"/>
    </row>
    <row r="128">
      <c r="A128" t="inlineStr">
        <is>
          <t>Desktops</t>
        </is>
      </c>
      <c r="B128">
        <f>COUNTIF(C9:C1000,"Desktop")</f>
        <v/>
      </c>
      <c r="C128" t="inlineStr"/>
      <c r="D128" t="inlineStr"/>
    </row>
    <row r="129">
      <c r="A129" t="inlineStr">
        <is>
          <t>Servers</t>
        </is>
      </c>
      <c r="B129">
        <f>COUNTIF(C9:C1000,"Server")</f>
        <v/>
      </c>
      <c r="C129" t="inlineStr"/>
      <c r="D129" t="inlineStr">
        <is>
          <t>🔒 Critical</t>
        </is>
      </c>
    </row>
    <row r="130">
      <c r="A130" t="inlineStr">
        <is>
          <t>Mobile Devices (Phones)</t>
        </is>
      </c>
      <c r="B130">
        <f>COUNTIF(C9:C1000,"Mobile Phone")</f>
        <v/>
      </c>
      <c r="C130" t="inlineStr"/>
      <c r="D130" t="inlineStr"/>
    </row>
    <row r="131">
      <c r="A131" t="inlineStr">
        <is>
          <t>Tablets</t>
        </is>
      </c>
      <c r="B131">
        <f>COUNTIF(C9:C1000,"Tablet")</f>
        <v/>
      </c>
      <c r="C131" t="inlineStr"/>
      <c r="D131" t="inlineStr"/>
    </row>
    <row r="132">
      <c r="A132" t="inlineStr">
        <is>
          <t>Devices patched in last 14 days</t>
        </is>
      </c>
      <c r="B132">
        <f>COUNTIFS(K9:K1000,"&gt;="&amp;TODAY()-14)</f>
        <v/>
      </c>
      <c r="C132" t="inlineStr"/>
      <c r="D132" t="inlineStr">
        <is>
          <t>✓ Compliant</t>
        </is>
      </c>
    </row>
    <row r="133">
      <c r="A133" t="inlineStr">
        <is>
          <t>Devices patched 15-30 days ago</t>
        </is>
      </c>
      <c r="B133">
        <f>COUNTIFS(K9:K1000,"&lt;"&amp;TODAY()-14,K9:K1000,"&gt;="&amp;TODAY()-30)</f>
        <v/>
      </c>
      <c r="C133" t="inlineStr"/>
      <c r="D133" t="inlineStr">
        <is>
          <t>⚠ Review</t>
        </is>
      </c>
    </row>
    <row r="134">
      <c r="A134" t="inlineStr">
        <is>
          <t>Devices patched &gt;30 days ago</t>
        </is>
      </c>
      <c r="B134">
        <f>COUNTIFS(K9:K1000,"&lt;"&amp;TODAY()-30)</f>
        <v/>
      </c>
      <c r="C134" t="inlineStr"/>
      <c r="D134" t="inlineStr">
        <is>
          <t>❌ Non-Compliant</t>
        </is>
      </c>
    </row>
    <row r="138">
      <c r="A138" s="10" t="inlineStr">
        <is>
          <t>CYBER ESSENTIALS COMPLIANCE CHECKPOINTS</t>
        </is>
      </c>
    </row>
    <row r="140">
      <c r="A140" s="11" t="inlineStr">
        <is>
          <t>Control Area</t>
        </is>
      </c>
      <c r="B140" s="11" t="inlineStr">
        <is>
          <t>Requirement</t>
        </is>
      </c>
      <c r="C140" s="11" t="inlineStr">
        <is>
          <t>Status Check</t>
        </is>
      </c>
      <c r="D140" s="11" t="inlineStr">
        <is>
          <t>Action Required</t>
        </is>
      </c>
    </row>
    <row r="141">
      <c r="A141" s="12" t="inlineStr">
        <is>
          <t>User Access Control</t>
        </is>
      </c>
      <c r="B141" s="12" t="inlineStr">
        <is>
          <t>All admin accounts have MFA</t>
        </is>
      </c>
      <c r="C141" s="12">
        <f>IF(COUNTIF(H9:H1000,"Administrator")=COUNTIFS(H9:H1000,"Administrator",J9:J1000,"Y"),"✓ PASS","❌ FAIL")</f>
        <v/>
      </c>
      <c r="D141" s="12" t="inlineStr">
        <is>
          <t>Enable MFA on all admin accounts</t>
        </is>
      </c>
    </row>
    <row r="142">
      <c r="A142" s="12" t="inlineStr">
        <is>
          <t>User Access Control</t>
        </is>
      </c>
      <c r="B142" s="12" t="inlineStr">
        <is>
          <t>Admin accounts are separate</t>
        </is>
      </c>
      <c r="C142" s="12" t="inlineStr">
        <is>
          <t>Manual Review Required</t>
        </is>
      </c>
      <c r="D142" s="12" t="inlineStr">
        <is>
          <t>Verify no dual-purpose accounts exist</t>
        </is>
      </c>
    </row>
    <row r="143">
      <c r="A143" s="12" t="inlineStr">
        <is>
          <t>Security Updates</t>
        </is>
      </c>
      <c r="B143" s="12" t="inlineStr">
        <is>
          <t>All devices patched within 14 days</t>
        </is>
      </c>
      <c r="C143" s="12">
        <f>IF(COUNTIFS(K9:K1000,"&lt;"&amp;TODAY()-14)=0,"✓ PASS","❌ FAIL")</f>
        <v/>
      </c>
      <c r="D143" s="12" t="inlineStr">
        <is>
          <t>Apply outstanding security patches</t>
        </is>
      </c>
    </row>
    <row r="144">
      <c r="A144" s="12" t="inlineStr">
        <is>
          <t>Malware Protection</t>
        </is>
      </c>
      <c r="B144" s="12" t="inlineStr">
        <is>
          <t>All devices have current protection</t>
        </is>
      </c>
      <c r="C144" s="12" t="inlineStr">
        <is>
          <t>Verify via separate AV report</t>
        </is>
      </c>
      <c r="D144" s="12" t="inlineStr">
        <is>
          <t>Check Device_Inventory_Template.xlsx</t>
        </is>
      </c>
    </row>
    <row r="145">
      <c r="A145" s="12" t="inlineStr">
        <is>
          <t>Secure Configuration</t>
        </is>
      </c>
      <c r="B145" s="12" t="inlineStr">
        <is>
          <t>Default passwords changed</t>
        </is>
      </c>
      <c r="C145" s="12" t="inlineStr">
        <is>
          <t>Manual Review Required</t>
        </is>
      </c>
      <c r="D145" s="12" t="inlineStr">
        <is>
          <t>Audit all devices for default credentials</t>
        </is>
      </c>
    </row>
  </sheetData>
  <mergeCells count="4">
    <mergeCell ref="A4:M4"/>
    <mergeCell ref="A1:M3"/>
    <mergeCell ref="A120:D120"/>
    <mergeCell ref="A138:D138"/>
  </mergeCells>
  <conditionalFormatting sqref="J9:J1000">
    <cfRule type="cellIs" priority="1" operator="equal" dxfId="0">
      <formula>"Y"</formula>
    </cfRule>
    <cfRule type="cellIs" priority="2" operator="equal" dxfId="1">
      <formula>"N"</formula>
    </cfRule>
  </conditionalFormatting>
  <conditionalFormatting sqref="H9:H1000">
    <cfRule type="cellIs" priority="3" operator="equal" dxfId="2">
      <formula>"Administrator"</formula>
    </cfRule>
  </conditionalFormatting>
  <dataValidations count="3">
    <dataValidation sqref="C9:C1000" showDropDown="0" showInputMessage="0" showErrorMessage="0" allowBlank="0" errorTitle="Invalid Device Type" error="Please select a valid device type" type="list">
      <formula1>"Desktop,Laptop,Server,Mobile Phone,Tablet,Printer,Router,Switch,Firewall,Other"</formula1>
    </dataValidation>
    <dataValidation sqref="H9:H1000" showDropDown="0" showInputMessage="0" showErrorMessage="0" allowBlank="0" errorTitle="Invalid Access Level" error="Please select a valid access level" type="list">
      <formula1>"Administrator,Standard User,Power User,Guest,Service Account"</formula1>
    </dataValidation>
    <dataValidation sqref="J9:J1000" showDropDown="0" showInputMessage="0" showErrorMessage="0" allowBlank="0" errorTitle="Invalid MFA Status" error="Please enter Y (Yes), N (No), or N/A" type="list">
      <formula1>"Y,N,N/A"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15" customWidth="1" min="3" max="3"/>
  </cols>
  <sheetData>
    <row r="1" ht="25" customHeight="1">
      <c r="A1" s="13" t="inlineStr">
        <is>
          <t>HOW TO USE THIS TEMPLATE</t>
        </is>
      </c>
    </row>
    <row r="2">
      <c r="A2" t="inlineStr"/>
      <c r="B2" t="inlineStr"/>
      <c r="C2" t="inlineStr"/>
    </row>
    <row r="3">
      <c r="A3" t="inlineStr">
        <is>
          <t>Purpose</t>
        </is>
      </c>
      <c r="B3" t="inlineStr">
        <is>
          <t>This template tracks all IT devices and access controls for Cyber Essentials compliance.</t>
        </is>
      </c>
      <c r="C3" t="inlineStr"/>
    </row>
    <row r="4">
      <c r="A4" t="inlineStr"/>
      <c r="B4" t="inlineStr"/>
      <c r="C4" t="inlineStr"/>
    </row>
    <row r="5">
      <c r="A5" s="14" t="inlineStr">
        <is>
          <t>Step-by-Step Instructions:</t>
        </is>
      </c>
      <c r="B5" t="inlineStr"/>
      <c r="C5" t="inlineStr"/>
    </row>
    <row r="6">
      <c r="A6" t="inlineStr">
        <is>
          <t>1.</t>
        </is>
      </c>
      <c r="B6" t="inlineStr">
        <is>
          <t>Enter your company name and completion date in the header section (Row 6)</t>
        </is>
      </c>
      <c r="C6" t="inlineStr"/>
    </row>
    <row r="7">
      <c r="A7" t="inlineStr">
        <is>
          <t>2.</t>
        </is>
      </c>
      <c r="B7" t="inlineStr">
        <is>
          <t>For each IT device in your organization, add a new row starting from Row 9</t>
        </is>
      </c>
      <c r="C7" t="inlineStr"/>
    </row>
    <row r="8">
      <c r="A8" t="inlineStr">
        <is>
          <t>3.</t>
        </is>
      </c>
      <c r="B8" t="inlineStr">
        <is>
          <t>Use the dropdown menus where provided (Device Type, Access Level, MFA)</t>
        </is>
      </c>
      <c r="C8" t="inlineStr"/>
    </row>
    <row r="9">
      <c r="A9" t="inlineStr">
        <is>
          <t>4.</t>
        </is>
      </c>
      <c r="B9" t="inlineStr">
        <is>
          <t>Assign unique Device IDs using a consistent format (e.g., DEV-001, DEV-002)</t>
        </is>
      </c>
      <c r="C9" t="inlineStr"/>
    </row>
    <row r="10">
      <c r="A10" t="inlineStr">
        <is>
          <t>5.</t>
        </is>
      </c>
      <c r="B10" t="inlineStr">
        <is>
          <t>Document ALL admin/privileged accounts in the 'Admin Accounts' column</t>
        </is>
      </c>
      <c r="C10" t="inlineStr"/>
    </row>
    <row r="11">
      <c r="A11" t="inlineStr">
        <is>
          <t>6.</t>
        </is>
      </c>
      <c r="B11" t="inlineStr">
        <is>
          <t>Link to evidence documentation where possible (screenshots, policy docs)</t>
        </is>
      </c>
      <c r="C11" t="inlineStr"/>
    </row>
    <row r="12">
      <c r="A12" t="inlineStr">
        <is>
          <t>7.</t>
        </is>
      </c>
      <c r="B12" t="inlineStr">
        <is>
          <t>Update the 'Last Patch Date' whenever security updates are applied</t>
        </is>
      </c>
      <c r="C12" t="inlineStr"/>
    </row>
    <row r="13">
      <c r="A13" t="inlineStr">
        <is>
          <t>8.</t>
        </is>
      </c>
      <c r="B13" t="inlineStr">
        <is>
          <t>Review the Summary Statistics section regularly to track compliance</t>
        </is>
      </c>
      <c r="C13" t="inlineStr"/>
    </row>
    <row r="14">
      <c r="A14" t="inlineStr">
        <is>
          <t>9.</t>
        </is>
      </c>
      <c r="B14" t="inlineStr">
        <is>
          <t>Check the Compliance Checkpoints section to identify gaps</t>
        </is>
      </c>
      <c r="C14" t="inlineStr"/>
    </row>
    <row r="15">
      <c r="A15" t="inlineStr">
        <is>
          <t>10.</t>
        </is>
      </c>
      <c r="B15" t="inlineStr">
        <is>
          <t>Update this inventory at least monthly or when devices are added/removed</t>
        </is>
      </c>
      <c r="C15" t="inlineStr"/>
    </row>
    <row r="16">
      <c r="A16" t="inlineStr"/>
      <c r="B16" t="inlineStr"/>
      <c r="C16" t="inlineStr"/>
    </row>
    <row r="17">
      <c r="A17" t="inlineStr">
        <is>
          <t>COLUMN GUIDE</t>
        </is>
      </c>
      <c r="B17" t="inlineStr"/>
      <c r="C17" t="inlineStr"/>
    </row>
    <row r="18">
      <c r="A18" s="14" t="inlineStr"/>
      <c r="B18" t="inlineStr"/>
      <c r="C18" t="inlineStr"/>
    </row>
    <row r="19">
      <c r="A19" t="inlineStr">
        <is>
          <t>Device ID</t>
        </is>
      </c>
      <c r="B19" t="inlineStr">
        <is>
          <t>Unique identifier for the device (e.g., DEV-001, SRV-001)</t>
        </is>
      </c>
      <c r="C19" t="inlineStr">
        <is>
          <t>Required</t>
        </is>
      </c>
    </row>
    <row r="20">
      <c r="A20" t="inlineStr">
        <is>
          <t>Hostname</t>
        </is>
      </c>
      <c r="B20" t="inlineStr">
        <is>
          <t>Network name of the device (e.g., CEO-LAPTOP, SERVER-DC01)</t>
        </is>
      </c>
      <c r="C20" t="inlineStr">
        <is>
          <t>Required</t>
        </is>
      </c>
    </row>
    <row r="21">
      <c r="A21" t="inlineStr">
        <is>
          <t>Device Type</t>
        </is>
      </c>
      <c r="B21" t="inlineStr">
        <is>
          <t>Category - select from dropdown list</t>
        </is>
      </c>
      <c r="C21" t="inlineStr">
        <is>
          <t>Required</t>
        </is>
      </c>
    </row>
    <row r="22">
      <c r="A22" t="inlineStr">
        <is>
          <t>Owner</t>
        </is>
      </c>
      <c r="B22" t="inlineStr">
        <is>
          <t>Person or department responsible for the device</t>
        </is>
      </c>
      <c r="C22" t="inlineStr">
        <is>
          <t>Required</t>
        </is>
      </c>
    </row>
    <row r="23">
      <c r="A23" t="inlineStr">
        <is>
          <t>OS</t>
        </is>
      </c>
      <c r="B23" t="inlineStr">
        <is>
          <t>Operating system and version (e.g., Windows 11 Pro, macOS Sonoma)</t>
        </is>
      </c>
      <c r="C23" t="inlineStr">
        <is>
          <t>Required</t>
        </is>
      </c>
    </row>
    <row r="24">
      <c r="A24" t="inlineStr">
        <is>
          <t>IP</t>
        </is>
      </c>
      <c r="B24" t="inlineStr">
        <is>
          <t>IP address (IPv4 or IPv6) - use 'DHCP' if dynamic</t>
        </is>
      </c>
      <c r="C24" t="inlineStr">
        <is>
          <t>Recommended</t>
        </is>
      </c>
    </row>
    <row r="25">
      <c r="A25" t="inlineStr">
        <is>
          <t>Location</t>
        </is>
      </c>
      <c r="B25" t="inlineStr">
        <is>
          <t>Physical or logical location (e.g., HQ Office, Remote - Manchester)</t>
        </is>
      </c>
      <c r="C25" t="inlineStr">
        <is>
          <t>Required</t>
        </is>
      </c>
    </row>
    <row r="26">
      <c r="A26" t="inlineStr">
        <is>
          <t>Access Level</t>
        </is>
      </c>
      <c r="B26" t="inlineStr">
        <is>
          <t>User permission level - select from dropdown</t>
        </is>
      </c>
      <c r="C26" t="inlineStr">
        <is>
          <t>Required</t>
        </is>
      </c>
    </row>
    <row r="27">
      <c r="A27" t="inlineStr">
        <is>
          <t>Admin Accounts</t>
        </is>
      </c>
      <c r="B27" t="inlineStr">
        <is>
          <t>List all admin/privileged account usernames (comma-separated)</t>
        </is>
      </c>
      <c r="C27" t="inlineStr">
        <is>
          <t>Required for admin devices</t>
        </is>
      </c>
    </row>
    <row r="28">
      <c r="A28" t="inlineStr">
        <is>
          <t>MFA (Y/N)</t>
        </is>
      </c>
      <c r="B28" t="inlineStr">
        <is>
          <t>Multi-factor authentication enabled? Y = Yes, N = No, N/A = Not applicable</t>
        </is>
      </c>
      <c r="C28" t="inlineStr">
        <is>
          <t>Required</t>
        </is>
      </c>
    </row>
    <row r="29">
      <c r="A29" t="inlineStr">
        <is>
          <t>Last Patch Date</t>
        </is>
      </c>
      <c r="B29" t="inlineStr">
        <is>
          <t>Date when last security update was applied (format: DD/MM/YYYY)</t>
        </is>
      </c>
      <c r="C29" t="inlineStr">
        <is>
          <t>Required</t>
        </is>
      </c>
    </row>
    <row r="30">
      <c r="A30" t="inlineStr">
        <is>
          <t>Evidence Link</t>
        </is>
      </c>
      <c r="B30" t="inlineStr">
        <is>
          <t>URL or file path to supporting evidence (optional but recommended)</t>
        </is>
      </c>
      <c r="C30" t="inlineStr">
        <is>
          <t>Optional</t>
        </is>
      </c>
    </row>
    <row r="31">
      <c r="A31" t="inlineStr">
        <is>
          <t>Notes</t>
        </is>
      </c>
      <c r="B31" t="inlineStr">
        <is>
          <t>Any additional information, warnings, or special configurations</t>
        </is>
      </c>
      <c r="C31" t="inlineStr">
        <is>
          <t>Optional</t>
        </is>
      </c>
    </row>
    <row r="32">
      <c r="A32" t="inlineStr"/>
      <c r="B32" t="inlineStr"/>
      <c r="C32" t="inlineStr"/>
    </row>
    <row r="33">
      <c r="A33" t="inlineStr">
        <is>
          <t>CYBER ESSENTIALS REQUIREMENTS</t>
        </is>
      </c>
      <c r="B33" t="inlineStr"/>
      <c r="C33" t="inlineStr"/>
    </row>
    <row r="34">
      <c r="A34" t="inlineStr"/>
      <c r="B34" t="inlineStr"/>
      <c r="C34" t="inlineStr"/>
    </row>
    <row r="35">
      <c r="A35" s="14" t="inlineStr">
        <is>
          <t>This template helps you meet CE requirements:</t>
        </is>
      </c>
      <c r="B35" t="inlineStr"/>
      <c r="C35" t="inlineStr"/>
    </row>
    <row r="36">
      <c r="A36" t="inlineStr">
        <is>
          <t>✓</t>
        </is>
      </c>
      <c r="B36" t="inlineStr">
        <is>
          <t>User Access Control: Track admin accounts and MFA usage</t>
        </is>
      </c>
      <c r="C36" t="inlineStr"/>
    </row>
    <row r="37">
      <c r="A37" t="inlineStr">
        <is>
          <t>✓</t>
        </is>
      </c>
      <c r="B37" t="inlineStr">
        <is>
          <t>Security Update Management: Monitor patch compliance (14-day target)</t>
        </is>
      </c>
      <c r="C37" t="inlineStr"/>
    </row>
    <row r="38">
      <c r="A38" t="inlineStr">
        <is>
          <t>✓</t>
        </is>
      </c>
      <c r="B38" t="inlineStr">
        <is>
          <t>Device Inventory: Maintain accurate asset register</t>
        </is>
      </c>
      <c r="C38" t="inlineStr"/>
    </row>
    <row r="39">
      <c r="A39" t="inlineStr">
        <is>
          <t>✓</t>
        </is>
      </c>
      <c r="B39" t="inlineStr">
        <is>
          <t>Evidence Collection: Link to supporting documentation</t>
        </is>
      </c>
      <c r="C39" t="inlineStr"/>
    </row>
    <row r="40">
      <c r="A40" t="inlineStr"/>
      <c r="B40" t="inlineStr"/>
      <c r="C40" t="inlineStr"/>
    </row>
    <row r="41">
      <c r="A41" t="inlineStr">
        <is>
          <t>IMPORTANT NOTES</t>
        </is>
      </c>
      <c r="B41" t="inlineStr"/>
      <c r="C41" t="inlineStr"/>
    </row>
    <row r="42">
      <c r="A42" t="inlineStr"/>
      <c r="B42" t="inlineStr"/>
      <c r="C42" t="inlineStr"/>
    </row>
    <row r="43">
      <c r="A43" t="inlineStr">
        <is>
          <t>⚠</t>
        </is>
      </c>
      <c r="B43" t="inlineStr">
        <is>
          <t>ALL administrator accounts MUST have MFA enabled for Cyber Essentials compliance</t>
        </is>
      </c>
      <c r="C43" t="inlineStr"/>
    </row>
    <row r="44">
      <c r="A44" t="inlineStr">
        <is>
          <t>⚠</t>
        </is>
      </c>
      <c r="B44" t="inlineStr">
        <is>
          <t>Security patches must be applied within 14 days of release</t>
        </is>
      </c>
      <c r="C44" t="inlineStr"/>
    </row>
    <row r="45">
      <c r="A45" t="inlineStr">
        <is>
          <t>⚠</t>
        </is>
      </c>
      <c r="B45" t="inlineStr">
        <is>
          <t>This template should be reviewed and updated monthly at minimum</t>
        </is>
      </c>
      <c r="C45" t="inlineStr"/>
    </row>
    <row r="46">
      <c r="A46" t="inlineStr">
        <is>
          <t>⚠</t>
        </is>
      </c>
      <c r="B46" t="inlineStr">
        <is>
          <t>Keep this document secure - it contains sensitive infrastructure information</t>
        </is>
      </c>
      <c r="C46" t="inlineStr"/>
    </row>
    <row r="47">
      <c r="A47" s="14" t="inlineStr">
        <is>
          <t>✓</t>
        </is>
      </c>
      <c r="B47" t="inlineStr">
        <is>
          <t>Use this alongside other toolkit templates for comprehensive compliance</t>
        </is>
      </c>
      <c r="C47" t="inlineStr"/>
    </row>
    <row r="48">
      <c r="A48" t="inlineStr"/>
      <c r="B48" t="inlineStr"/>
      <c r="C48" t="inlineStr"/>
    </row>
    <row r="49">
      <c r="A49" t="inlineStr">
        <is>
          <t>RELATED TEMPLATES</t>
        </is>
      </c>
      <c r="B49" t="inlineStr"/>
      <c r="C49" t="inlineStr"/>
    </row>
    <row r="50">
      <c r="A50" t="inlineStr"/>
      <c r="B50" t="inlineStr"/>
      <c r="C50" t="inlineStr"/>
    </row>
    <row r="51">
      <c r="A51" t="inlineStr">
        <is>
          <t>•</t>
        </is>
      </c>
      <c r="B51" t="inlineStr">
        <is>
          <t>CE_Readiness_Questionnaire_v1.docx - Initial assessment</t>
        </is>
      </c>
      <c r="C51" t="inlineStr"/>
    </row>
    <row r="52">
      <c r="A52" t="inlineStr">
        <is>
          <t>•</t>
        </is>
      </c>
      <c r="B52" t="inlineStr">
        <is>
          <t>Scoring_Matrix.xlsx - Calculate readiness percentage</t>
        </is>
      </c>
      <c r="C52" t="inlineStr"/>
    </row>
    <row r="53">
      <c r="A53" t="inlineStr">
        <is>
          <t>•</t>
        </is>
      </c>
      <c r="B53" t="inlineStr">
        <is>
          <t>Firewall_Configuration_Guide.pdf - Technical control guidance</t>
        </is>
      </c>
      <c r="C53" t="inlineStr"/>
    </row>
    <row r="54">
      <c r="A54" s="14" t="inlineStr">
        <is>
          <t>•</t>
        </is>
      </c>
      <c r="B54" t="inlineStr">
        <is>
          <t>Password_Policy_v1.docx - Access control policy</t>
        </is>
      </c>
      <c r="C54" t="inlineStr"/>
    </row>
    <row r="55">
      <c r="A55" t="inlineStr">
        <is>
          <t>•</t>
        </is>
      </c>
      <c r="B55" t="inlineStr">
        <is>
          <t>Patch_Management_Procedure.pdf - Update process</t>
        </is>
      </c>
      <c r="C55" t="inlineStr"/>
    </row>
    <row r="56">
      <c r="A56" t="inlineStr"/>
      <c r="B56" t="inlineStr"/>
      <c r="C56" t="inlineStr"/>
    </row>
    <row r="57">
      <c r="A57" t="inlineStr">
        <is>
          <t>VERSION CONTROL</t>
        </is>
      </c>
      <c r="B57" t="inlineStr"/>
      <c r="C57" t="inlineStr"/>
    </row>
    <row r="58">
      <c r="A58" t="inlineStr"/>
      <c r="B58" t="inlineStr"/>
      <c r="C58" t="inlineStr"/>
    </row>
    <row r="59">
      <c r="A59" t="inlineStr">
        <is>
          <t>Version 1.0</t>
        </is>
      </c>
      <c r="B59" t="inlineStr">
        <is>
          <t>Initial release - December 2025</t>
        </is>
      </c>
      <c r="C59" t="inlineStr"/>
    </row>
    <row r="60">
      <c r="A60" t="inlineStr">
        <is>
          <t>Created by</t>
        </is>
      </c>
      <c r="B60" t="inlineStr">
        <is>
          <t>Dumitru Tanasie - Tanasiom Aegis Project</t>
        </is>
      </c>
      <c r="C60" t="inlineStr"/>
    </row>
    <row r="61">
      <c r="A61" t="inlineStr">
        <is>
          <t>License</t>
        </is>
      </c>
      <c r="B61" t="inlineStr">
        <is>
          <t>Internal use for Cyber Essentials compliance preparation</t>
        </is>
      </c>
      <c r="C61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2025-12-07T02:38:38Z</dcterms:created>
  <dcterms:modified xmlns:dcterms="http://purl.org/dc/terms/" xmlns:xsi="http://www.w3.org/2001/XMLSchema-instance" xsi:type="dcterms:W3CDTF">2025-12-07T02:38:38Z</dcterms:modified>
</cp:coreProperties>
</file>